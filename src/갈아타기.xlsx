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00748\Desktop\"/>
    </mc:Choice>
  </mc:AlternateContent>
  <xr:revisionPtr revIDLastSave="0" documentId="13_ncr:1_{6DE44622-62EC-4A79-9D34-95A9FC691526}" xr6:coauthVersionLast="47" xr6:coauthVersionMax="47" xr10:uidLastSave="{00000000-0000-0000-0000-000000000000}"/>
  <bookViews>
    <workbookView xWindow="-120" yWindow="-120" windowWidth="38640" windowHeight="24240" xr2:uid="{991584B9-F9FD-4471-97A3-42FB886660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1" l="1"/>
  <c r="E9" i="1"/>
  <c r="C12" i="1"/>
  <c r="D12" i="1"/>
  <c r="D9" i="1"/>
  <c r="B12" i="1" l="1"/>
  <c r="B15" i="1" l="1"/>
  <c r="A15" i="1"/>
  <c r="B16" i="1" l="1"/>
</calcChain>
</file>

<file path=xl/sharedStrings.xml><?xml version="1.0" encoding="utf-8"?>
<sst xmlns="http://schemas.openxmlformats.org/spreadsheetml/2006/main" count="31" uniqueCount="26">
  <si>
    <t>우리집</t>
    <phoneticPr fontId="4" type="noConversion"/>
  </si>
  <si>
    <t>대출</t>
    <phoneticPr fontId="4" type="noConversion"/>
  </si>
  <si>
    <t>남는돈</t>
    <phoneticPr fontId="4" type="noConversion"/>
  </si>
  <si>
    <t>중개보수</t>
    <phoneticPr fontId="4" type="noConversion"/>
  </si>
  <si>
    <t>이사갈집</t>
    <phoneticPr fontId="4" type="noConversion"/>
  </si>
  <si>
    <t>취등록세</t>
    <phoneticPr fontId="4" type="noConversion"/>
  </si>
  <si>
    <t>법무사비용 및(기타)</t>
    <phoneticPr fontId="4" type="noConversion"/>
  </si>
  <si>
    <t>청약</t>
    <phoneticPr fontId="4" type="noConversion"/>
  </si>
  <si>
    <t>적금</t>
    <phoneticPr fontId="4" type="noConversion"/>
  </si>
  <si>
    <t>카카오뱅크</t>
    <phoneticPr fontId="4" type="noConversion"/>
  </si>
  <si>
    <t>주식</t>
    <phoneticPr fontId="4" type="noConversion"/>
  </si>
  <si>
    <t>대출금리(연)</t>
    <phoneticPr fontId="4" type="noConversion"/>
  </si>
  <si>
    <t>대출기간(년)</t>
    <phoneticPr fontId="4" type="noConversion"/>
  </si>
  <si>
    <t>납입원금</t>
    <phoneticPr fontId="4" type="noConversion"/>
  </si>
  <si>
    <t>이자</t>
    <phoneticPr fontId="4" type="noConversion"/>
  </si>
  <si>
    <t>총 이자</t>
    <phoneticPr fontId="4" type="noConversion"/>
  </si>
  <si>
    <t>보험</t>
    <phoneticPr fontId="4" type="noConversion"/>
  </si>
  <si>
    <t>유치원</t>
    <phoneticPr fontId="4" type="noConversion"/>
  </si>
  <si>
    <t>핸드폰</t>
    <phoneticPr fontId="4" type="noConversion"/>
  </si>
  <si>
    <t>관리비</t>
    <phoneticPr fontId="4" type="noConversion"/>
  </si>
  <si>
    <t>학원비</t>
    <phoneticPr fontId="4" type="noConversion"/>
  </si>
  <si>
    <t>승수</t>
    <phoneticPr fontId="4" type="noConversion"/>
  </si>
  <si>
    <t>엄마</t>
    <phoneticPr fontId="4" type="noConversion"/>
  </si>
  <si>
    <t>장인어른</t>
    <phoneticPr fontId="4" type="noConversion"/>
  </si>
  <si>
    <t>검단여행</t>
    <phoneticPr fontId="4" type="noConversion"/>
  </si>
  <si>
    <t>예린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</si>
</sst>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_);[Red]\(0.0\)"/>
    <numFmt numFmtId="177" formatCode="#,###,###,###,###&quot;원&quot;"/>
    <numFmt numFmtId="178" formatCode="#&quot;년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176" fontId="0" fillId="0" borderId="0" xfId="2" applyNumberFormat="1" applyFont="1">
      <alignment vertical="center"/>
    </xf>
    <xf numFmtId="0" fontId="0" fillId="0" borderId="2" xfId="0" applyBorder="1" applyAlignment="1">
      <alignment horizontal="center" vertical="center"/>
    </xf>
    <xf numFmtId="41" fontId="0" fillId="0" borderId="2" xfId="1" applyFont="1" applyBorder="1">
      <alignment vertical="center"/>
    </xf>
    <xf numFmtId="41" fontId="2" fillId="2" borderId="2" xfId="3" applyNumberFormat="1" applyBorder="1">
      <alignment vertical="center"/>
    </xf>
    <xf numFmtId="41" fontId="3" fillId="3" borderId="2" xfId="4" applyNumberFormat="1" applyBorder="1">
      <alignment vertical="center"/>
    </xf>
    <xf numFmtId="0" fontId="0" fillId="0" borderId="0" xfId="0" applyAlignment="1">
      <alignment horizontal="center" vertical="center"/>
    </xf>
    <xf numFmtId="41" fontId="0" fillId="0" borderId="0" xfId="1" applyFont="1">
      <alignment vertical="center"/>
    </xf>
    <xf numFmtId="41" fontId="0" fillId="0" borderId="0" xfId="1" applyFont="1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0" fontId="7" fillId="0" borderId="2" xfId="0" applyNumberFormat="1" applyFont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41" fontId="0" fillId="0" borderId="2" xfId="1" applyFont="1" applyBorder="1" applyAlignment="1">
      <alignment vertical="center"/>
    </xf>
    <xf numFmtId="0" fontId="7" fillId="4" borderId="2" xfId="0" applyFont="1" applyFill="1" applyBorder="1">
      <alignment vertical="center"/>
    </xf>
    <xf numFmtId="177" fontId="5" fillId="0" borderId="5" xfId="1" applyNumberFormat="1" applyFont="1" applyBorder="1" applyAlignment="1">
      <alignment horizontal="center" vertical="center"/>
    </xf>
    <xf numFmtId="176" fontId="0" fillId="0" borderId="3" xfId="2" applyNumberFormat="1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41" fontId="2" fillId="2" borderId="2" xfId="3" applyNumberFormat="1" applyBorder="1" applyAlignment="1">
      <alignment vertical="center"/>
    </xf>
  </cellXfs>
  <cellStyles count="5">
    <cellStyle name="강조색6" xfId="4" builtinId="49"/>
    <cellStyle name="계산" xfId="3" builtinId="22"/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B89D-C018-493D-AD77-D5F2C6343627}">
  <dimension ref="A8:J27"/>
  <sheetViews>
    <sheetView tabSelected="1" zoomScale="160" zoomScaleNormal="160" workbookViewId="0">
      <selection activeCell="C18" sqref="C18"/>
    </sheetView>
  </sheetViews>
  <sheetFormatPr defaultRowHeight="16.5" x14ac:dyDescent="0.3"/>
  <cols>
    <col min="1" max="1" width="16.5" bestFit="1" customWidth="1"/>
    <col min="2" max="2" width="13" bestFit="1" customWidth="1"/>
    <col min="3" max="3" width="11.875" bestFit="1" customWidth="1"/>
    <col min="4" max="4" width="12.625" customWidth="1"/>
    <col min="5" max="5" width="20.75" customWidth="1"/>
    <col min="6" max="6" width="11.875" bestFit="1" customWidth="1"/>
    <col min="7" max="7" width="10.875" bestFit="1" customWidth="1"/>
    <col min="8" max="9" width="11.875" bestFit="1" customWidth="1"/>
  </cols>
  <sheetData>
    <row r="8" spans="1:9" x14ac:dyDescent="0.3">
      <c r="A8" s="2" t="s">
        <v>0</v>
      </c>
      <c r="B8" s="2" t="s">
        <v>1</v>
      </c>
      <c r="C8" s="2" t="s">
        <v>5</v>
      </c>
      <c r="D8" s="2" t="s">
        <v>3</v>
      </c>
      <c r="E8" s="2" t="s">
        <v>2</v>
      </c>
      <c r="F8" s="6" t="s">
        <v>7</v>
      </c>
      <c r="G8" s="6" t="s">
        <v>8</v>
      </c>
      <c r="H8" s="6" t="s">
        <v>9</v>
      </c>
      <c r="I8" s="6" t="s">
        <v>10</v>
      </c>
    </row>
    <row r="9" spans="1:9" x14ac:dyDescent="0.3">
      <c r="A9" s="3">
        <v>1150000000</v>
      </c>
      <c r="B9" s="3">
        <v>347663000</v>
      </c>
      <c r="C9" s="3">
        <v>0</v>
      </c>
      <c r="D9" s="3">
        <f>A9*D10/100</f>
        <v>5750000</v>
      </c>
      <c r="E9" s="4">
        <f>A9-B9+F9+G9+H9+I9</f>
        <v>843337000</v>
      </c>
      <c r="F9" s="7">
        <v>10000000</v>
      </c>
      <c r="G9" s="7">
        <v>4000000</v>
      </c>
      <c r="H9" s="7">
        <v>12000000</v>
      </c>
      <c r="I9" s="8">
        <v>15000000</v>
      </c>
    </row>
    <row r="10" spans="1:9" x14ac:dyDescent="0.3">
      <c r="D10" s="1">
        <v>0.5</v>
      </c>
    </row>
    <row r="11" spans="1:9" x14ac:dyDescent="0.3">
      <c r="A11" s="2" t="s">
        <v>4</v>
      </c>
      <c r="B11" s="2" t="s">
        <v>1</v>
      </c>
      <c r="C11" s="2" t="s">
        <v>5</v>
      </c>
      <c r="D11" s="2" t="s">
        <v>3</v>
      </c>
      <c r="E11" s="2" t="s">
        <v>6</v>
      </c>
    </row>
    <row r="12" spans="1:9" x14ac:dyDescent="0.3">
      <c r="A12" s="3">
        <v>1300000000</v>
      </c>
      <c r="B12" s="5">
        <f>A12+C12+D12+D9+E12-E9</f>
        <v>512813000</v>
      </c>
      <c r="C12" s="3">
        <f>A12*0.033</f>
        <v>42900000</v>
      </c>
      <c r="D12" s="3">
        <f>A12*D13/100</f>
        <v>6500000</v>
      </c>
      <c r="E12" s="3">
        <v>1000000</v>
      </c>
    </row>
    <row r="13" spans="1:9" x14ac:dyDescent="0.3">
      <c r="C13" s="9"/>
      <c r="D13" s="16">
        <v>0.5</v>
      </c>
      <c r="E13" s="9"/>
    </row>
    <row r="14" spans="1:9" x14ac:dyDescent="0.3">
      <c r="A14" s="2" t="s">
        <v>13</v>
      </c>
      <c r="B14" s="2" t="s">
        <v>14</v>
      </c>
      <c r="C14" s="10"/>
      <c r="D14" s="17"/>
      <c r="E14" s="15"/>
    </row>
    <row r="15" spans="1:9" ht="18" customHeight="1" x14ac:dyDescent="0.3">
      <c r="A15" s="3">
        <f>IFERROR(-PPMT(E15/12,2,E16*12,B12),)</f>
        <v>435312.35689190496</v>
      </c>
      <c r="B15" s="13">
        <f>IFERROR(-IPMT(E15/12,2,E16*12,B12),)</f>
        <v>1707930.4462118763</v>
      </c>
      <c r="C15" s="18"/>
      <c r="D15" s="14" t="s">
        <v>11</v>
      </c>
      <c r="E15" s="11">
        <v>0.04</v>
      </c>
      <c r="G15">
        <v>60</v>
      </c>
      <c r="H15" t="s">
        <v>16</v>
      </c>
    </row>
    <row r="16" spans="1:9" ht="18" customHeight="1" x14ac:dyDescent="0.3">
      <c r="A16" s="2" t="s">
        <v>15</v>
      </c>
      <c r="B16" s="19">
        <f>A15+B15</f>
        <v>2143242.8031037813</v>
      </c>
      <c r="D16" s="14" t="s">
        <v>12</v>
      </c>
      <c r="E16" s="12">
        <v>40</v>
      </c>
      <c r="G16">
        <v>30</v>
      </c>
      <c r="H16" t="s">
        <v>16</v>
      </c>
    </row>
    <row r="17" spans="5:10" x14ac:dyDescent="0.3">
      <c r="E17" s="7"/>
      <c r="G17">
        <v>20</v>
      </c>
      <c r="H17" t="s">
        <v>17</v>
      </c>
    </row>
    <row r="18" spans="5:10" x14ac:dyDescent="0.3">
      <c r="G18">
        <v>17</v>
      </c>
      <c r="H18" t="s">
        <v>18</v>
      </c>
    </row>
    <row r="19" spans="5:10" x14ac:dyDescent="0.3">
      <c r="G19">
        <v>30</v>
      </c>
      <c r="H19" t="s">
        <v>19</v>
      </c>
    </row>
    <row r="20" spans="5:10" x14ac:dyDescent="0.3">
      <c r="G20">
        <v>65</v>
      </c>
      <c r="H20" t="s">
        <v>20</v>
      </c>
    </row>
    <row r="21" spans="5:10" x14ac:dyDescent="0.3">
      <c r="G21">
        <v>17</v>
      </c>
      <c r="H21" t="s">
        <v>21</v>
      </c>
    </row>
    <row r="22" spans="5:10" x14ac:dyDescent="0.3">
      <c r="G22">
        <v>20</v>
      </c>
      <c r="H22" t="s">
        <v>22</v>
      </c>
    </row>
    <row r="23" spans="5:10" x14ac:dyDescent="0.3">
      <c r="G23">
        <v>20</v>
      </c>
      <c r="H23" t="s">
        <v>23</v>
      </c>
    </row>
    <row r="24" spans="5:10" x14ac:dyDescent="0.3">
      <c r="G24">
        <v>15</v>
      </c>
      <c r="H24" t="s">
        <v>24</v>
      </c>
    </row>
    <row r="25" spans="5:10" x14ac:dyDescent="0.3">
      <c r="G25">
        <v>20</v>
      </c>
      <c r="H25" t="s">
        <v>25</v>
      </c>
    </row>
    <row r="26" spans="5:10" x14ac:dyDescent="0.3">
      <c r="G26">
        <v>250</v>
      </c>
      <c r="H26" t="s">
        <v>1</v>
      </c>
      <c r="J26">
        <v>240</v>
      </c>
    </row>
    <row r="27" spans="5:10" x14ac:dyDescent="0.3">
      <c r="G27">
        <f>SUM(G14:G26)</f>
        <v>564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심대진</dc:creator>
  <cp:lastModifiedBy>심대진</cp:lastModifiedBy>
  <dcterms:created xsi:type="dcterms:W3CDTF">2024-08-10T13:50:11Z</dcterms:created>
  <dcterms:modified xsi:type="dcterms:W3CDTF">2024-08-27T23:15:04Z</dcterms:modified>
</cp:coreProperties>
</file>